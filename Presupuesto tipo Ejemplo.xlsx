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esktop\Kaizenith\Memo Informatica\"/>
    </mc:Choice>
  </mc:AlternateContent>
  <xr:revisionPtr revIDLastSave="0" documentId="8_{E65480D3-DF3E-49EC-A946-0618A2FD6D07}" xr6:coauthVersionLast="47" xr6:coauthVersionMax="47" xr10:uidLastSave="{00000000-0000-0000-0000-000000000000}"/>
  <bookViews>
    <workbookView xWindow="-28920" yWindow="-900" windowWidth="29040" windowHeight="15720" xr2:uid="{A8AE0B9D-4A49-4EA3-94D1-55AA0DD55EA3}"/>
  </bookViews>
  <sheets>
    <sheet name="Presupuesto" sheetId="1" r:id="rId1"/>
    <sheet name="Detalle Presupuesto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" l="1"/>
  <c r="I34" i="2"/>
  <c r="H34" i="2"/>
  <c r="G34" i="2"/>
  <c r="C34" i="2"/>
  <c r="B34" i="2"/>
  <c r="J33" i="2"/>
  <c r="I33" i="2"/>
  <c r="H33" i="2"/>
  <c r="G33" i="2"/>
  <c r="C33" i="2"/>
  <c r="B33" i="2"/>
  <c r="J32" i="2"/>
  <c r="I32" i="2"/>
  <c r="H32" i="2"/>
  <c r="G32" i="2"/>
  <c r="B32" i="2"/>
  <c r="J31" i="2"/>
  <c r="I31" i="2"/>
  <c r="H31" i="2"/>
  <c r="G31" i="2"/>
  <c r="B31" i="2"/>
  <c r="J30" i="2"/>
  <c r="I30" i="2"/>
  <c r="H30" i="2"/>
  <c r="G30" i="2"/>
  <c r="B30" i="2"/>
  <c r="J29" i="2"/>
  <c r="I29" i="2"/>
  <c r="H29" i="2"/>
  <c r="G29" i="2"/>
  <c r="B29" i="2"/>
  <c r="J28" i="2"/>
  <c r="I28" i="2"/>
  <c r="H28" i="2"/>
  <c r="G28" i="2"/>
  <c r="B28" i="2"/>
  <c r="J27" i="2"/>
  <c r="I27" i="2"/>
  <c r="H27" i="2"/>
  <c r="G27" i="2"/>
  <c r="B27" i="2"/>
  <c r="J26" i="2"/>
  <c r="I26" i="2"/>
  <c r="H26" i="2"/>
  <c r="G26" i="2"/>
  <c r="B26" i="2"/>
  <c r="J25" i="2"/>
  <c r="I25" i="2"/>
  <c r="H25" i="2"/>
  <c r="G25" i="2"/>
  <c r="B25" i="2"/>
  <c r="J23" i="2"/>
  <c r="J35" i="2" s="1"/>
  <c r="B23" i="2"/>
  <c r="J19" i="2"/>
  <c r="I19" i="2"/>
  <c r="J12" i="2"/>
  <c r="G12" i="2"/>
  <c r="E54" i="1"/>
  <c r="D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50" i="1" s="1"/>
  <c r="E27" i="1"/>
  <c r="D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0" i="1" s="1"/>
  <c r="E53" i="1" s="1"/>
  <c r="E55" i="1" s="1"/>
  <c r="J37" i="2" l="1"/>
  <c r="J36" i="2"/>
  <c r="E57" i="1"/>
  <c r="E56" i="1"/>
  <c r="E58" i="1" l="1"/>
  <c r="E59" i="1" s="1"/>
</calcChain>
</file>

<file path=xl/sharedStrings.xml><?xml version="1.0" encoding="utf-8"?>
<sst xmlns="http://schemas.openxmlformats.org/spreadsheetml/2006/main" count="97" uniqueCount="86">
  <si>
    <t>Partida /Desarme de bodega + traslado de materiales y limpieza</t>
  </si>
  <si>
    <t>Materiales</t>
  </si>
  <si>
    <t xml:space="preserve">Cantidad </t>
  </si>
  <si>
    <t>Valor Comercial</t>
  </si>
  <si>
    <t>Total</t>
  </si>
  <si>
    <t>Limpieza y retiro de escombros 1er - 2do piso</t>
  </si>
  <si>
    <t>Retiro planchas segundo piso</t>
  </si>
  <si>
    <t>Retiro de escalera y estructura metalica</t>
  </si>
  <si>
    <t xml:space="preserve">Retiro de planchas 1er piso </t>
  </si>
  <si>
    <t>Planchas yeso carton 10mm</t>
  </si>
  <si>
    <t>Tornillo Punta Broca Autoperforante Yeso-Cartón 1-1/4 " 6 mm 1000 Unidades</t>
  </si>
  <si>
    <r>
      <rPr>
        <b/>
        <sz val="11"/>
        <color theme="1"/>
        <rFont val="Aptos Narrow"/>
        <family val="2"/>
        <scheme val="minor"/>
      </rPr>
      <t>Weber</t>
    </r>
    <r>
      <rPr>
        <sz val="11"/>
        <color theme="1"/>
        <rFont val="Aptos Narrow"/>
        <family val="2"/>
        <scheme val="minor"/>
      </rPr>
      <t xml:space="preserve"> Cinta fibra vidrio autoadhesiva 50mmx40m junturas de tabiquería de fibrocemento</t>
    </r>
  </si>
  <si>
    <t>Perfil C Metalcon Estructural Metal 90x20x0.85 mm 4 m</t>
  </si>
  <si>
    <t>Perfil U Metalcon Estructural Metal 92x20x0.85 mm 6 m</t>
  </si>
  <si>
    <r>
      <rPr>
        <b/>
        <sz val="11"/>
        <color theme="1"/>
        <rFont val="Aptos Narrow"/>
        <family val="2"/>
        <scheme val="minor"/>
      </rPr>
      <t xml:space="preserve">Superfil </t>
    </r>
    <r>
      <rPr>
        <sz val="11"/>
        <color theme="1"/>
        <rFont val="Aptos Narrow"/>
        <family val="2"/>
        <scheme val="minor"/>
      </rPr>
      <t>Perfil Tabiques Esquinero Perforado Metal 30x30 mm 2,40 m</t>
    </r>
  </si>
  <si>
    <r>
      <rPr>
        <b/>
        <sz val="11"/>
        <color theme="1"/>
        <rFont val="Aptos Narrow"/>
        <family val="2"/>
        <scheme val="minor"/>
      </rPr>
      <t>Volcan</t>
    </r>
    <r>
      <rPr>
        <sz val="11"/>
        <color theme="1"/>
        <rFont val="Aptos Narrow"/>
        <family val="2"/>
        <scheme val="minor"/>
      </rPr>
      <t xml:space="preserve"> Masilla base junta PRO 25 kg</t>
    </r>
  </si>
  <si>
    <t>Pasta para muro de interior 1 gl</t>
  </si>
  <si>
    <t xml:space="preserve">Arriendo de camion </t>
  </si>
  <si>
    <t>Sub Total</t>
  </si>
  <si>
    <t>-</t>
  </si>
  <si>
    <t>Esmeril  9"</t>
  </si>
  <si>
    <t>Esmeril 7"</t>
  </si>
  <si>
    <t>Esmeril 4 1/2""</t>
  </si>
  <si>
    <t>Disco de corte 4 1/2" x1mm</t>
  </si>
  <si>
    <t>Disco de corte 7" x1mm</t>
  </si>
  <si>
    <t xml:space="preserve">Disco de corte 9" </t>
  </si>
  <si>
    <t>Taladro inhalambrico Dewall</t>
  </si>
  <si>
    <t>Puntas phillip flextorq</t>
  </si>
  <si>
    <t>HOJA SIERRA CIRCULAR 7-1/4 24T 48-41-0720 MILWAUKEE</t>
  </si>
  <si>
    <t xml:space="preserve">Bolsa basura negra 110x120 industrial </t>
  </si>
  <si>
    <t>Escobillón municipal 60 cm</t>
  </si>
  <si>
    <t>Escobillón municipal 40 cm</t>
  </si>
  <si>
    <t xml:space="preserve">Antiparras </t>
  </si>
  <si>
    <t xml:space="preserve">Tapones auditivos </t>
  </si>
  <si>
    <t xml:space="preserve">Mascarilla industrial 2870 ffp2 con valvula </t>
  </si>
  <si>
    <t>Guantes de cabretilla</t>
  </si>
  <si>
    <t>Coleto</t>
  </si>
  <si>
    <t>Polainas Fkevlar refpuntera</t>
  </si>
  <si>
    <t>Guantes tipo mosquetero</t>
  </si>
  <si>
    <t>Pantalon cargo</t>
  </si>
  <si>
    <t>Ropa Corporativa</t>
  </si>
  <si>
    <t>combustible</t>
  </si>
  <si>
    <t>materiales</t>
  </si>
  <si>
    <t>Mano obra</t>
  </si>
  <si>
    <t>3% margen</t>
  </si>
  <si>
    <t>Neto</t>
  </si>
  <si>
    <t>19% iva</t>
  </si>
  <si>
    <t>KaiZenith Spa</t>
  </si>
  <si>
    <t xml:space="preserve">Construcción General–Soldaduras Especiales–Reparación Maquinaria Pesada–Servicios Logísticos </t>
  </si>
  <si>
    <t>78.218.808-9</t>
  </si>
  <si>
    <t xml:space="preserve">Badajoz 100 OF 621 Ps 6 1,Dpto.623, Las Condes  </t>
  </si>
  <si>
    <t>contacto.kaizenith@gmail.com</t>
  </si>
  <si>
    <t>COTIZACIÓN CLIENTE</t>
  </si>
  <si>
    <t>CÓDIGO COTIZACIÓN</t>
  </si>
  <si>
    <t>#341</t>
  </si>
  <si>
    <t>FECHA ENTREGA COT.</t>
  </si>
  <si>
    <t>COT. VÁLIDA HASTA</t>
  </si>
  <si>
    <t>DATOS DEL CLIENTE</t>
  </si>
  <si>
    <t>NOMBRE O RAZÓN SOCIAL</t>
  </si>
  <si>
    <t>Ottobock Chile spa</t>
  </si>
  <si>
    <t>GIRO COMERCIAL</t>
  </si>
  <si>
    <t>Giro importación, exportación y comercialización de productos ortopédicos</t>
  </si>
  <si>
    <t>TELÉFONO DE CONTACTO</t>
  </si>
  <si>
    <t>9-91443155</t>
  </si>
  <si>
    <t>CIUDAD</t>
  </si>
  <si>
    <t>Quilicura / RM</t>
  </si>
  <si>
    <t>R.U.T. DE LA EMPRESA</t>
  </si>
  <si>
    <t>76.054.842-1</t>
  </si>
  <si>
    <t>DIRECCIÓN</t>
  </si>
  <si>
    <t xml:space="preserve">Américo Vespucio Norte 1385, modulo 13 </t>
  </si>
  <si>
    <t>CORREO DE CONTACTO</t>
  </si>
  <si>
    <t>Jocelyn.jarpa@ottobock.com</t>
  </si>
  <si>
    <t>ITEM</t>
  </si>
  <si>
    <t>DESCRIPCIÓN DE LA PARTIDA</t>
  </si>
  <si>
    <t>UNIDAD</t>
  </si>
  <si>
    <t>CANTIDAD</t>
  </si>
  <si>
    <t>VALOR UNIT</t>
  </si>
  <si>
    <t xml:space="preserve"> TOTAL NETO</t>
  </si>
  <si>
    <t>Demolición y retiro de estructuras interior en bodega, dos plantas (335 M² aprox.)</t>
  </si>
  <si>
    <t>(u)</t>
  </si>
  <si>
    <t>Incluye: Retiro de cielo de madera (piso soportante del segundo nivel), retiro estructuras metálicas soportantes y barandas perimetrales, demolición de muros de yeso cartón con estructura metalcom, desmontaje de escalera metálica (330kg aprox.).  
Carga, transporte y disposición final de escombros.
Limpieza general de bodega.
Peso total estimado a gestionar 4,1 toneladas</t>
  </si>
  <si>
    <t>Esta cotización tiene una vigencia de 15 dias.</t>
  </si>
  <si>
    <t>NETO</t>
  </si>
  <si>
    <t>Forma de pago: 50% anticipo / 50% contra entrega</t>
  </si>
  <si>
    <t>IVA 19%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</si>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</sst>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#,##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  <font>
      <b/>
      <sz val="8"/>
      <color theme="3" tint="0.79998168889431442"/>
      <name val="Aptos Narrow"/>
      <family val="2"/>
      <scheme val="minor"/>
    </font>
    <font>
      <b/>
      <sz val="9"/>
      <color theme="8" tint="-0.499984740745262"/>
      <name val="Aptos Narrow"/>
      <family val="2"/>
      <scheme val="minor"/>
    </font>
    <font>
      <b/>
      <sz val="18"/>
      <color theme="8" tint="-0.499984740745262"/>
      <name val="Aptos Narrow"/>
      <family val="2"/>
      <scheme val="minor"/>
    </font>
    <font>
      <sz val="9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/>
      <top/>
      <bottom/>
      <diagonal/>
    </border>
    <border>
      <left/>
      <right style="thin">
        <color theme="6" tint="0.39997558519241921"/>
      </right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42" fontId="0" fillId="0" borderId="5" xfId="1" applyFont="1" applyBorder="1"/>
    <xf numFmtId="42" fontId="0" fillId="0" borderId="6" xfId="1" applyFont="1" applyBorder="1"/>
    <xf numFmtId="0" fontId="2" fillId="3" borderId="5" xfId="0" applyFont="1" applyFill="1" applyBorder="1" applyAlignment="1">
      <alignment horizontal="center"/>
    </xf>
    <xf numFmtId="42" fontId="2" fillId="3" borderId="5" xfId="1" applyFont="1" applyFill="1" applyBorder="1"/>
    <xf numFmtId="42" fontId="0" fillId="0" borderId="6" xfId="1" applyFont="1" applyBorder="1" applyAlignment="1">
      <alignment horizontal="center"/>
    </xf>
    <xf numFmtId="0" fontId="0" fillId="0" borderId="7" xfId="0" applyBorder="1"/>
    <xf numFmtId="0" fontId="2" fillId="4" borderId="8" xfId="0" applyFont="1" applyFill="1" applyBorder="1" applyAlignment="1">
      <alignment horizontal="center"/>
    </xf>
    <xf numFmtId="42" fontId="0" fillId="4" borderId="8" xfId="1" applyFont="1" applyFill="1" applyBorder="1"/>
    <xf numFmtId="42" fontId="2" fillId="4" borderId="9" xfId="1" applyFont="1" applyFill="1" applyBorder="1"/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42" fontId="0" fillId="0" borderId="0" xfId="0" applyNumberFormat="1"/>
    <xf numFmtId="0" fontId="5" fillId="5" borderId="0" xfId="0" applyFont="1" applyFill="1" applyAlignment="1" applyProtection="1">
      <alignment horizontal="center" vertical="center" wrapText="1"/>
      <protection hidden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 applyProtection="1">
      <alignment horizontal="left"/>
      <protection hidden="1"/>
    </xf>
    <xf numFmtId="0" fontId="4" fillId="5" borderId="0" xfId="2" applyFill="1" applyAlignment="1" applyProtection="1">
      <alignment horizontal="left"/>
      <protection hidden="1"/>
    </xf>
    <xf numFmtId="1" fontId="7" fillId="5" borderId="0" xfId="0" applyNumberFormat="1" applyFont="1" applyFill="1"/>
    <xf numFmtId="0" fontId="0" fillId="5" borderId="0" xfId="0" applyFill="1"/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14" fontId="7" fillId="5" borderId="12" xfId="0" applyNumberFormat="1" applyFont="1" applyFill="1" applyBorder="1" applyAlignment="1">
      <alignment horizontal="center" vertical="center"/>
    </xf>
    <xf numFmtId="14" fontId="7" fillId="6" borderId="12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1" fillId="7" borderId="12" xfId="0" applyFont="1" applyFill="1" applyBorder="1" applyAlignment="1">
      <alignment horizontal="left"/>
    </xf>
    <xf numFmtId="0" fontId="11" fillId="7" borderId="12" xfId="0" applyFont="1" applyFill="1" applyBorder="1" applyAlignment="1">
      <alignment horizontal="left" vertical="top"/>
    </xf>
    <xf numFmtId="0" fontId="7" fillId="0" borderId="12" xfId="0" applyFont="1" applyBorder="1" applyAlignment="1">
      <alignment vertical="center" wrapText="1"/>
    </xf>
    <xf numFmtId="0" fontId="11" fillId="7" borderId="13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left" wrapText="1"/>
    </xf>
    <xf numFmtId="0" fontId="4" fillId="7" borderId="13" xfId="2" applyFill="1" applyBorder="1" applyAlignment="1">
      <alignment horizontal="left" vertical="top"/>
    </xf>
    <xf numFmtId="0" fontId="11" fillId="7" borderId="15" xfId="0" applyFont="1" applyFill="1" applyBorder="1" applyAlignment="1">
      <alignment horizontal="left" vertical="top"/>
    </xf>
    <xf numFmtId="0" fontId="11" fillId="7" borderId="14" xfId="0" applyFont="1" applyFill="1" applyBorder="1" applyAlignment="1">
      <alignment horizontal="left" vertical="top"/>
    </xf>
    <xf numFmtId="0" fontId="12" fillId="8" borderId="12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3" fillId="0" borderId="12" xfId="0" applyFont="1" applyBorder="1"/>
    <xf numFmtId="0" fontId="13" fillId="6" borderId="16" xfId="0" applyFont="1" applyFill="1" applyBorder="1" applyAlignment="1">
      <alignment horizontal="justify" vertical="top" wrapText="1"/>
    </xf>
    <xf numFmtId="0" fontId="13" fillId="6" borderId="17" xfId="0" applyFont="1" applyFill="1" applyBorder="1" applyAlignment="1">
      <alignment horizontal="justify" vertical="top" wrapText="1"/>
    </xf>
    <xf numFmtId="0" fontId="13" fillId="6" borderId="18" xfId="0" applyFont="1" applyFill="1" applyBorder="1" applyAlignment="1">
      <alignment horizontal="justify" vertical="top" wrapText="1"/>
    </xf>
    <xf numFmtId="164" fontId="13" fillId="0" borderId="12" xfId="0" applyNumberFormat="1" applyFont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164" fontId="13" fillId="0" borderId="12" xfId="0" applyNumberFormat="1" applyFont="1" applyBorder="1" applyAlignment="1">
      <alignment horizontal="right"/>
    </xf>
    <xf numFmtId="0" fontId="13" fillId="6" borderId="19" xfId="0" applyFont="1" applyFill="1" applyBorder="1" applyAlignment="1">
      <alignment horizontal="justify" vertical="top" wrapText="1"/>
    </xf>
    <xf numFmtId="0" fontId="13" fillId="6" borderId="20" xfId="0" applyFont="1" applyFill="1" applyBorder="1" applyAlignment="1">
      <alignment horizontal="justify" vertical="top" wrapText="1"/>
    </xf>
    <xf numFmtId="0" fontId="13" fillId="6" borderId="21" xfId="0" applyFont="1" applyFill="1" applyBorder="1" applyAlignment="1">
      <alignment horizontal="justify" vertical="top" wrapText="1"/>
    </xf>
    <xf numFmtId="49" fontId="13" fillId="6" borderId="16" xfId="0" applyNumberFormat="1" applyFont="1" applyFill="1" applyBorder="1" applyAlignment="1">
      <alignment horizontal="justify" vertical="top" wrapText="1"/>
    </xf>
    <xf numFmtId="49" fontId="13" fillId="6" borderId="17" xfId="0" applyNumberFormat="1" applyFont="1" applyFill="1" applyBorder="1" applyAlignment="1">
      <alignment horizontal="justify" vertical="top" wrapText="1"/>
    </xf>
    <xf numFmtId="49" fontId="13" fillId="6" borderId="18" xfId="0" applyNumberFormat="1" applyFont="1" applyFill="1" applyBorder="1" applyAlignment="1">
      <alignment horizontal="justify" vertical="top" wrapText="1"/>
    </xf>
    <xf numFmtId="49" fontId="13" fillId="6" borderId="22" xfId="0" applyNumberFormat="1" applyFont="1" applyFill="1" applyBorder="1" applyAlignment="1">
      <alignment horizontal="justify" vertical="top" wrapText="1"/>
    </xf>
    <xf numFmtId="49" fontId="13" fillId="6" borderId="0" xfId="0" applyNumberFormat="1" applyFont="1" applyFill="1" applyAlignment="1">
      <alignment horizontal="justify" vertical="top" wrapText="1"/>
    </xf>
    <xf numFmtId="49" fontId="13" fillId="6" borderId="23" xfId="0" applyNumberFormat="1" applyFont="1" applyFill="1" applyBorder="1" applyAlignment="1">
      <alignment horizontal="justify" vertical="top" wrapText="1"/>
    </xf>
    <xf numFmtId="0" fontId="13" fillId="6" borderId="13" xfId="0" applyFont="1" applyFill="1" applyBorder="1" applyAlignment="1">
      <alignment wrapText="1"/>
    </xf>
    <xf numFmtId="0" fontId="13" fillId="6" borderId="15" xfId="0" applyFont="1" applyFill="1" applyBorder="1" applyAlignment="1">
      <alignment wrapText="1"/>
    </xf>
    <xf numFmtId="0" fontId="13" fillId="6" borderId="14" xfId="0" applyFont="1" applyFill="1" applyBorder="1" applyAlignment="1">
      <alignment wrapText="1"/>
    </xf>
    <xf numFmtId="49" fontId="14" fillId="0" borderId="16" xfId="0" applyNumberFormat="1" applyFont="1" applyBorder="1" applyAlignment="1">
      <alignment vertical="top"/>
    </xf>
    <xf numFmtId="49" fontId="14" fillId="0" borderId="17" xfId="0" applyNumberFormat="1" applyFont="1" applyBorder="1" applyAlignment="1">
      <alignment vertical="top"/>
    </xf>
    <xf numFmtId="49" fontId="14" fillId="0" borderId="18" xfId="0" applyNumberFormat="1" applyFont="1" applyBorder="1" applyAlignment="1">
      <alignment vertical="top"/>
    </xf>
    <xf numFmtId="164" fontId="14" fillId="0" borderId="12" xfId="0" applyNumberFormat="1" applyFont="1" applyBorder="1"/>
    <xf numFmtId="164" fontId="13" fillId="0" borderId="14" xfId="0" applyNumberFormat="1" applyFont="1" applyBorder="1" applyAlignment="1">
      <alignment horizontal="right"/>
    </xf>
    <xf numFmtId="164" fontId="3" fillId="8" borderId="13" xfId="0" applyNumberFormat="1" applyFont="1" applyFill="1" applyBorder="1" applyAlignment="1">
      <alignment horizontal="center"/>
    </xf>
    <xf numFmtId="164" fontId="3" fillId="8" borderId="15" xfId="0" applyNumberFormat="1" applyFont="1" applyFill="1" applyBorder="1" applyAlignment="1">
      <alignment horizontal="center"/>
    </xf>
    <xf numFmtId="164" fontId="3" fillId="8" borderId="14" xfId="0" applyNumberFormat="1" applyFont="1" applyFill="1" applyBorder="1" applyAlignment="1">
      <alignment horizontal="center"/>
    </xf>
    <xf numFmtId="164" fontId="3" fillId="8" borderId="12" xfId="0" applyNumberFormat="1" applyFont="1" applyFill="1" applyBorder="1"/>
    <xf numFmtId="164" fontId="15" fillId="8" borderId="14" xfId="0" applyNumberFormat="1" applyFont="1" applyFill="1" applyBorder="1" applyAlignment="1">
      <alignment horizontal="righ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7470</xdr:colOff>
      <xdr:row>1</xdr:row>
      <xdr:rowOff>7398</xdr:rowOff>
    </xdr:from>
    <xdr:to>
      <xdr:col>9</xdr:col>
      <xdr:colOff>742950</xdr:colOff>
      <xdr:row>9</xdr:row>
      <xdr:rowOff>37928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2856E5-DD44-4703-865E-03BA3832A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050" y="1276128"/>
          <a:ext cx="2314725" cy="1476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tri\Desktop\Kaizenith\&#128196;%20PRESUPUESTO%20AUTOMATIZADO%20PATO.xlsm" TargetMode="External"/><Relationship Id="rId1" Type="http://schemas.openxmlformats.org/officeDocument/2006/relationships/externalLinkPath" Target="/Users/patri/Desktop/Kaizenith/&#128196;%20PRESUPUESTO%20AUTOMATIZADO%20PA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Presupuesto"/>
      <sheetName val="Ingreso ficha personal y logo"/>
      <sheetName val="BB.DD Presupuesto"/>
      <sheetName val="Hoja de ruta"/>
      <sheetName val="APU"/>
      <sheetName val="Lista de mano de obra"/>
      <sheetName val="Lista materiales y herramientas"/>
      <sheetName val="Ingreso de clientes"/>
      <sheetName val="Base de datos clientes"/>
      <sheetName val="tutoriales"/>
    </sheetNames>
    <sheetDataSet>
      <sheetData sheetId="0"/>
      <sheetData sheetId="1">
        <row r="23">
          <cell r="B23"/>
        </row>
        <row r="24">
          <cell r="B24"/>
          <cell r="G24" t="str">
            <v>Santiago</v>
          </cell>
          <cell r="H24"/>
          <cell r="I24"/>
        </row>
        <row r="25">
          <cell r="B25"/>
          <cell r="G25" t="str">
            <v>Los Coigues #7209 /Macul</v>
          </cell>
          <cell r="H25"/>
          <cell r="I25"/>
        </row>
        <row r="26">
          <cell r="B26"/>
          <cell r="G26"/>
          <cell r="H26"/>
          <cell r="I26"/>
        </row>
        <row r="27">
          <cell r="B27">
            <v>1</v>
          </cell>
          <cell r="G27">
            <v>1</v>
          </cell>
        </row>
        <row r="28">
          <cell r="B28" t="str">
            <v>DESCRIPCIÓN DE LA PARTIDA</v>
          </cell>
          <cell r="G28" t="str">
            <v>CANTIDAD</v>
          </cell>
          <cell r="H28" t="str">
            <v>VALOR UNIT</v>
          </cell>
          <cell r="I28" t="str">
            <v xml:space="preserve"> TOTAL NETO</v>
          </cell>
        </row>
        <row r="29">
          <cell r="B29" t="str">
            <v>REPARACIONES INTERIORES DE MURALLAS</v>
          </cell>
          <cell r="G29">
            <v>16.8</v>
          </cell>
          <cell r="H29">
            <v>23037.103095238093</v>
          </cell>
          <cell r="I29">
            <v>387023.33199999999</v>
          </cell>
        </row>
        <row r="30">
          <cell r="B30"/>
          <cell r="G30"/>
          <cell r="H30" t="str">
            <v/>
          </cell>
          <cell r="I30" t="str">
            <v/>
          </cell>
        </row>
        <row r="41">
          <cell r="B41"/>
          <cell r="G41"/>
          <cell r="H41" t="str">
            <v/>
          </cell>
          <cell r="I41" t="str">
            <v/>
          </cell>
        </row>
        <row r="42">
          <cell r="B42"/>
          <cell r="C42"/>
          <cell r="G42"/>
          <cell r="H42" t="str">
            <v/>
          </cell>
          <cell r="I42" t="str">
            <v/>
          </cell>
        </row>
        <row r="43">
          <cell r="B43"/>
          <cell r="C43"/>
          <cell r="G43"/>
          <cell r="H43" t="str">
            <v/>
          </cell>
          <cell r="I43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Jocelyn.jarpa@ottobock.com" TargetMode="External"/><Relationship Id="rId1" Type="http://schemas.openxmlformats.org/officeDocument/2006/relationships/hyperlink" Target="mailto:contacto.kaizen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1997-23A6-4C05-A553-7BCEEFE854EF}">
  <dimension ref="B2:E59"/>
  <sheetViews>
    <sheetView tabSelected="1" topLeftCell="A33" workbookViewId="0">
      <selection activeCell="B62" sqref="B62"/>
    </sheetView>
  </sheetViews>
  <sheetFormatPr baseColWidth="10" defaultRowHeight="14.4" x14ac:dyDescent="0.3"/>
  <cols>
    <col min="2" max="2" width="79.109375" bestFit="1" customWidth="1"/>
  </cols>
  <sheetData>
    <row r="2" spans="2:5" ht="15" thickBot="1" x14ac:dyDescent="0.35"/>
    <row r="3" spans="2:5" x14ac:dyDescent="0.3">
      <c r="B3" s="1" t="s">
        <v>0</v>
      </c>
      <c r="C3" s="2"/>
      <c r="D3" s="2"/>
      <c r="E3" s="3"/>
    </row>
    <row r="4" spans="2:5" x14ac:dyDescent="0.3">
      <c r="B4" s="4"/>
      <c r="C4" s="5"/>
      <c r="D4" s="5"/>
      <c r="E4" s="6"/>
    </row>
    <row r="5" spans="2:5" x14ac:dyDescent="0.3">
      <c r="B5" s="7" t="s">
        <v>1</v>
      </c>
      <c r="C5" s="8" t="s">
        <v>2</v>
      </c>
      <c r="D5" s="8" t="s">
        <v>3</v>
      </c>
      <c r="E5" s="9" t="s">
        <v>4</v>
      </c>
    </row>
    <row r="6" spans="2:5" x14ac:dyDescent="0.3">
      <c r="B6" s="10" t="s">
        <v>5</v>
      </c>
      <c r="C6" s="11">
        <v>25</v>
      </c>
      <c r="D6" s="12">
        <v>2500</v>
      </c>
      <c r="E6" s="13">
        <f>D6*C6</f>
        <v>62500</v>
      </c>
    </row>
    <row r="7" spans="2:5" x14ac:dyDescent="0.3">
      <c r="B7" s="10" t="s">
        <v>6</v>
      </c>
      <c r="C7" s="11">
        <v>90</v>
      </c>
      <c r="D7" s="12">
        <v>5500</v>
      </c>
      <c r="E7" s="13">
        <f>D7*C7</f>
        <v>495000</v>
      </c>
    </row>
    <row r="8" spans="2:5" x14ac:dyDescent="0.3">
      <c r="B8" s="10" t="s">
        <v>7</v>
      </c>
      <c r="C8" s="11">
        <v>10</v>
      </c>
      <c r="D8" s="12">
        <v>12000</v>
      </c>
      <c r="E8" s="13">
        <f t="shared" ref="E8:E18" si="0">D8*C8</f>
        <v>120000</v>
      </c>
    </row>
    <row r="9" spans="2:5" x14ac:dyDescent="0.3">
      <c r="B9" s="10" t="s">
        <v>8</v>
      </c>
      <c r="C9" s="11">
        <v>90</v>
      </c>
      <c r="D9" s="12">
        <v>2800</v>
      </c>
      <c r="E9" s="13">
        <f t="shared" si="0"/>
        <v>252000</v>
      </c>
    </row>
    <row r="10" spans="2:5" x14ac:dyDescent="0.3">
      <c r="B10" s="10" t="s">
        <v>9</v>
      </c>
      <c r="C10" s="11">
        <v>12</v>
      </c>
      <c r="D10" s="12">
        <v>6590</v>
      </c>
      <c r="E10" s="13">
        <f t="shared" si="0"/>
        <v>79080</v>
      </c>
    </row>
    <row r="11" spans="2:5" x14ac:dyDescent="0.3">
      <c r="B11" s="10" t="s">
        <v>10</v>
      </c>
      <c r="C11" s="11">
        <v>1</v>
      </c>
      <c r="D11" s="12">
        <v>12990</v>
      </c>
      <c r="E11" s="13">
        <f t="shared" si="0"/>
        <v>12990</v>
      </c>
    </row>
    <row r="12" spans="2:5" x14ac:dyDescent="0.3">
      <c r="B12" s="10" t="s">
        <v>11</v>
      </c>
      <c r="C12" s="11">
        <v>2</v>
      </c>
      <c r="D12" s="12">
        <v>3690</v>
      </c>
      <c r="E12" s="13">
        <f t="shared" si="0"/>
        <v>7380</v>
      </c>
    </row>
    <row r="13" spans="2:5" x14ac:dyDescent="0.3">
      <c r="B13" s="10" t="s">
        <v>12</v>
      </c>
      <c r="C13" s="11">
        <v>20</v>
      </c>
      <c r="D13" s="12">
        <v>15590</v>
      </c>
      <c r="E13" s="13">
        <f t="shared" si="0"/>
        <v>311800</v>
      </c>
    </row>
    <row r="14" spans="2:5" x14ac:dyDescent="0.3">
      <c r="B14" s="10" t="s">
        <v>13</v>
      </c>
      <c r="C14" s="11">
        <v>4</v>
      </c>
      <c r="D14" s="12">
        <v>6390</v>
      </c>
      <c r="E14" s="13">
        <f t="shared" si="0"/>
        <v>25560</v>
      </c>
    </row>
    <row r="15" spans="2:5" x14ac:dyDescent="0.3">
      <c r="B15" s="10" t="s">
        <v>14</v>
      </c>
      <c r="C15" s="11">
        <v>5</v>
      </c>
      <c r="D15" s="12">
        <v>1390</v>
      </c>
      <c r="E15" s="13">
        <f t="shared" si="0"/>
        <v>6950</v>
      </c>
    </row>
    <row r="16" spans="2:5" x14ac:dyDescent="0.3">
      <c r="B16" s="10" t="s">
        <v>15</v>
      </c>
      <c r="C16" s="11">
        <v>1</v>
      </c>
      <c r="D16" s="12">
        <v>24990</v>
      </c>
      <c r="E16" s="13">
        <f t="shared" si="0"/>
        <v>24990</v>
      </c>
    </row>
    <row r="17" spans="2:5" x14ac:dyDescent="0.3">
      <c r="B17" s="10" t="s">
        <v>16</v>
      </c>
      <c r="C17" s="11">
        <v>1</v>
      </c>
      <c r="D17" s="12">
        <v>7990</v>
      </c>
      <c r="E17" s="13">
        <f t="shared" si="0"/>
        <v>7990</v>
      </c>
    </row>
    <row r="18" spans="2:5" x14ac:dyDescent="0.3">
      <c r="B18" s="10" t="s">
        <v>17</v>
      </c>
      <c r="C18" s="11">
        <v>5</v>
      </c>
      <c r="D18" s="12">
        <v>60710</v>
      </c>
      <c r="E18" s="13">
        <f t="shared" si="0"/>
        <v>303550</v>
      </c>
    </row>
    <row r="19" spans="2:5" x14ac:dyDescent="0.3">
      <c r="B19" s="10"/>
      <c r="C19" s="14" t="s">
        <v>18</v>
      </c>
      <c r="D19" s="15">
        <f>SUM(D6:D18)</f>
        <v>163130</v>
      </c>
      <c r="E19" s="16" t="s">
        <v>19</v>
      </c>
    </row>
    <row r="20" spans="2:5" ht="15" thickBot="1" x14ac:dyDescent="0.35">
      <c r="B20" s="17"/>
      <c r="C20" s="18" t="s">
        <v>4</v>
      </c>
      <c r="D20" s="19"/>
      <c r="E20" s="20">
        <f>SUM(E6:E18)</f>
        <v>1709790</v>
      </c>
    </row>
    <row r="23" spans="2:5" ht="15" thickBot="1" x14ac:dyDescent="0.35"/>
    <row r="24" spans="2:5" x14ac:dyDescent="0.3">
      <c r="B24" s="1" t="s">
        <v>0</v>
      </c>
      <c r="C24" s="2"/>
      <c r="D24" s="2"/>
      <c r="E24" s="3"/>
    </row>
    <row r="25" spans="2:5" x14ac:dyDescent="0.3">
      <c r="B25" s="4"/>
      <c r="C25" s="5"/>
      <c r="D25" s="5"/>
      <c r="E25" s="6"/>
    </row>
    <row r="26" spans="2:5" x14ac:dyDescent="0.3">
      <c r="B26" s="21" t="s">
        <v>1</v>
      </c>
      <c r="C26" s="8" t="s">
        <v>2</v>
      </c>
      <c r="D26" s="8" t="s">
        <v>3</v>
      </c>
      <c r="E26" s="9" t="s">
        <v>4</v>
      </c>
    </row>
    <row r="27" spans="2:5" x14ac:dyDescent="0.3">
      <c r="B27" s="10" t="s">
        <v>20</v>
      </c>
      <c r="C27" s="22">
        <v>1</v>
      </c>
      <c r="D27" s="12">
        <v>200000</v>
      </c>
      <c r="E27" s="13">
        <f>D27*C27</f>
        <v>200000</v>
      </c>
    </row>
    <row r="28" spans="2:5" x14ac:dyDescent="0.3">
      <c r="B28" s="10" t="s">
        <v>21</v>
      </c>
      <c r="C28" s="11">
        <v>1</v>
      </c>
      <c r="D28" s="12"/>
      <c r="E28" s="13">
        <f>D28*C28</f>
        <v>0</v>
      </c>
    </row>
    <row r="29" spans="2:5" x14ac:dyDescent="0.3">
      <c r="B29" s="10" t="s">
        <v>22</v>
      </c>
      <c r="C29" s="11">
        <v>4</v>
      </c>
      <c r="D29" s="12"/>
      <c r="E29" s="13">
        <f t="shared" ref="E29:E48" si="1">D29*C29</f>
        <v>0</v>
      </c>
    </row>
    <row r="30" spans="2:5" x14ac:dyDescent="0.3">
      <c r="B30" s="10" t="s">
        <v>23</v>
      </c>
      <c r="C30" s="11">
        <v>100</v>
      </c>
      <c r="D30" s="12">
        <v>1690</v>
      </c>
      <c r="E30" s="13">
        <f t="shared" si="1"/>
        <v>169000</v>
      </c>
    </row>
    <row r="31" spans="2:5" x14ac:dyDescent="0.3">
      <c r="B31" s="10" t="s">
        <v>24</v>
      </c>
      <c r="C31" s="11">
        <v>10</v>
      </c>
      <c r="D31" s="12">
        <v>2090</v>
      </c>
      <c r="E31" s="13">
        <f t="shared" si="1"/>
        <v>20900</v>
      </c>
    </row>
    <row r="32" spans="2:5" x14ac:dyDescent="0.3">
      <c r="B32" s="10" t="s">
        <v>25</v>
      </c>
      <c r="C32" s="11">
        <v>15</v>
      </c>
      <c r="D32" s="12">
        <v>3090</v>
      </c>
      <c r="E32" s="13">
        <f t="shared" si="1"/>
        <v>46350</v>
      </c>
    </row>
    <row r="33" spans="2:5" x14ac:dyDescent="0.3">
      <c r="B33" s="10" t="s">
        <v>26</v>
      </c>
      <c r="C33" s="11">
        <v>1</v>
      </c>
      <c r="D33" s="12"/>
      <c r="E33" s="13">
        <f t="shared" si="1"/>
        <v>0</v>
      </c>
    </row>
    <row r="34" spans="2:5" x14ac:dyDescent="0.3">
      <c r="B34" s="10" t="s">
        <v>27</v>
      </c>
      <c r="C34" s="11">
        <v>2</v>
      </c>
      <c r="D34" s="12">
        <v>6990</v>
      </c>
      <c r="E34" s="13">
        <f t="shared" si="1"/>
        <v>13980</v>
      </c>
    </row>
    <row r="35" spans="2:5" x14ac:dyDescent="0.3">
      <c r="B35" s="10" t="s">
        <v>28</v>
      </c>
      <c r="C35" s="11">
        <v>1</v>
      </c>
      <c r="D35" s="12">
        <v>11990</v>
      </c>
      <c r="E35" s="13">
        <f t="shared" si="1"/>
        <v>11990</v>
      </c>
    </row>
    <row r="36" spans="2:5" x14ac:dyDescent="0.3">
      <c r="B36" s="10" t="s">
        <v>29</v>
      </c>
      <c r="C36" s="11">
        <v>5</v>
      </c>
      <c r="D36" s="12">
        <v>3090</v>
      </c>
      <c r="E36" s="13">
        <f t="shared" si="1"/>
        <v>15450</v>
      </c>
    </row>
    <row r="37" spans="2:5" x14ac:dyDescent="0.3">
      <c r="B37" s="10" t="s">
        <v>30</v>
      </c>
      <c r="C37" s="11">
        <v>1</v>
      </c>
      <c r="D37" s="12">
        <v>17990</v>
      </c>
      <c r="E37" s="13">
        <f t="shared" si="1"/>
        <v>17990</v>
      </c>
    </row>
    <row r="38" spans="2:5" x14ac:dyDescent="0.3">
      <c r="B38" s="10" t="s">
        <v>31</v>
      </c>
      <c r="C38" s="11">
        <v>1</v>
      </c>
      <c r="D38" s="12">
        <v>15490</v>
      </c>
      <c r="E38" s="13">
        <f t="shared" si="1"/>
        <v>15490</v>
      </c>
    </row>
    <row r="39" spans="2:5" x14ac:dyDescent="0.3">
      <c r="B39" s="10" t="s">
        <v>32</v>
      </c>
      <c r="C39" s="11">
        <v>2</v>
      </c>
      <c r="D39" s="12">
        <v>13190</v>
      </c>
      <c r="E39" s="13">
        <f t="shared" si="1"/>
        <v>26380</v>
      </c>
    </row>
    <row r="40" spans="2:5" x14ac:dyDescent="0.3">
      <c r="B40" s="10" t="s">
        <v>33</v>
      </c>
      <c r="C40" s="11">
        <v>1</v>
      </c>
      <c r="D40" s="12">
        <v>27990</v>
      </c>
      <c r="E40" s="13">
        <f t="shared" si="1"/>
        <v>27990</v>
      </c>
    </row>
    <row r="41" spans="2:5" x14ac:dyDescent="0.3">
      <c r="B41" s="10" t="s">
        <v>34</v>
      </c>
      <c r="C41" s="11">
        <v>4</v>
      </c>
      <c r="D41" s="12">
        <v>2890</v>
      </c>
      <c r="E41" s="13">
        <f t="shared" si="1"/>
        <v>11560</v>
      </c>
    </row>
    <row r="42" spans="2:5" x14ac:dyDescent="0.3">
      <c r="B42" s="10" t="s">
        <v>35</v>
      </c>
      <c r="C42" s="11">
        <v>5</v>
      </c>
      <c r="D42" s="12">
        <v>1790</v>
      </c>
      <c r="E42" s="13">
        <f t="shared" si="1"/>
        <v>8950</v>
      </c>
    </row>
    <row r="43" spans="2:5" x14ac:dyDescent="0.3">
      <c r="B43" s="10" t="s">
        <v>36</v>
      </c>
      <c r="C43" s="11">
        <v>2</v>
      </c>
      <c r="D43" s="12">
        <v>6910</v>
      </c>
      <c r="E43" s="13">
        <f t="shared" si="1"/>
        <v>13820</v>
      </c>
    </row>
    <row r="44" spans="2:5" x14ac:dyDescent="0.3">
      <c r="B44" s="10" t="s">
        <v>37</v>
      </c>
      <c r="C44" s="11">
        <v>2</v>
      </c>
      <c r="D44" s="12">
        <v>12990</v>
      </c>
      <c r="E44" s="13">
        <f t="shared" si="1"/>
        <v>25980</v>
      </c>
    </row>
    <row r="45" spans="2:5" x14ac:dyDescent="0.3">
      <c r="B45" s="10" t="s">
        <v>38</v>
      </c>
      <c r="C45" s="11">
        <v>1</v>
      </c>
      <c r="D45" s="12">
        <v>7990</v>
      </c>
      <c r="E45" s="13">
        <f t="shared" si="1"/>
        <v>7990</v>
      </c>
    </row>
    <row r="46" spans="2:5" x14ac:dyDescent="0.3">
      <c r="B46" s="10" t="s">
        <v>39</v>
      </c>
      <c r="C46" s="11">
        <v>10</v>
      </c>
      <c r="D46" s="12"/>
      <c r="E46" s="13">
        <f t="shared" si="1"/>
        <v>0</v>
      </c>
    </row>
    <row r="47" spans="2:5" x14ac:dyDescent="0.3">
      <c r="B47" s="10" t="s">
        <v>40</v>
      </c>
      <c r="C47" s="11">
        <v>1</v>
      </c>
      <c r="D47" s="12"/>
      <c r="E47" s="13">
        <f t="shared" si="1"/>
        <v>0</v>
      </c>
    </row>
    <row r="48" spans="2:5" x14ac:dyDescent="0.3">
      <c r="B48" s="10" t="s">
        <v>41</v>
      </c>
      <c r="C48" s="11">
        <v>10</v>
      </c>
      <c r="D48" s="12">
        <v>15000</v>
      </c>
      <c r="E48" s="13">
        <f t="shared" si="1"/>
        <v>150000</v>
      </c>
    </row>
    <row r="49" spans="2:5" x14ac:dyDescent="0.3">
      <c r="B49" s="10"/>
      <c r="C49" s="14" t="s">
        <v>18</v>
      </c>
      <c r="D49" s="15">
        <f>SUM(D27:D48)</f>
        <v>351170</v>
      </c>
      <c r="E49" s="16" t="s">
        <v>19</v>
      </c>
    </row>
    <row r="50" spans="2:5" ht="15" thickBot="1" x14ac:dyDescent="0.35">
      <c r="B50" s="17"/>
      <c r="C50" s="18" t="s">
        <v>4</v>
      </c>
      <c r="D50" s="19"/>
      <c r="E50" s="20">
        <f>SUM(E27:E48)</f>
        <v>783820</v>
      </c>
    </row>
    <row r="52" spans="2:5" x14ac:dyDescent="0.3">
      <c r="D52" s="23"/>
      <c r="E52" s="23"/>
    </row>
    <row r="53" spans="2:5" x14ac:dyDescent="0.3">
      <c r="D53" s="23" t="s">
        <v>42</v>
      </c>
      <c r="E53" s="23">
        <f>SUM(E20+E50)</f>
        <v>2493610</v>
      </c>
    </row>
    <row r="54" spans="2:5" x14ac:dyDescent="0.3">
      <c r="D54" s="23" t="s">
        <v>43</v>
      </c>
      <c r="E54" s="23">
        <f>(((55000+0.145)*10)+ ((85000+0.145)*10))</f>
        <v>1400002.9</v>
      </c>
    </row>
    <row r="55" spans="2:5" x14ac:dyDescent="0.3">
      <c r="D55" t="s">
        <v>4</v>
      </c>
      <c r="E55" s="23">
        <f>SUM(E53:E54)</f>
        <v>3893612.9</v>
      </c>
    </row>
    <row r="56" spans="2:5" x14ac:dyDescent="0.3">
      <c r="D56" s="23" t="s">
        <v>44</v>
      </c>
      <c r="E56" s="23">
        <f>E55*0.03</f>
        <v>116808.38699999999</v>
      </c>
    </row>
    <row r="57" spans="2:5" x14ac:dyDescent="0.3">
      <c r="D57" s="23" t="s">
        <v>45</v>
      </c>
      <c r="E57" s="23">
        <f>SUM(E55:E56)</f>
        <v>4010421.287</v>
      </c>
    </row>
    <row r="58" spans="2:5" x14ac:dyDescent="0.3">
      <c r="D58" s="23" t="s">
        <v>46</v>
      </c>
      <c r="E58" s="23">
        <f>E57*19%</f>
        <v>761980.04452999996</v>
      </c>
    </row>
    <row r="59" spans="2:5" x14ac:dyDescent="0.3">
      <c r="D59" s="23" t="s">
        <v>4</v>
      </c>
      <c r="E59" s="23">
        <f>SUM(E57:E58)</f>
        <v>4772401.3315300001</v>
      </c>
    </row>
  </sheetData>
  <mergeCells count="2">
    <mergeCell ref="B3:E4"/>
    <mergeCell ref="B24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4971-ADC1-4995-B705-8C1430EEDE46}">
  <dimension ref="B2:J37"/>
  <sheetViews>
    <sheetView topLeftCell="A14" workbookViewId="0">
      <selection activeCell="N22" sqref="M22:N22"/>
    </sheetView>
  </sheetViews>
  <sheetFormatPr baseColWidth="10" defaultRowHeight="14.4" x14ac:dyDescent="0.3"/>
  <sheetData>
    <row r="2" spans="2:10" ht="18" x14ac:dyDescent="0.3">
      <c r="B2" s="24" t="s">
        <v>47</v>
      </c>
      <c r="C2" s="24"/>
      <c r="D2" s="24"/>
      <c r="E2" s="24"/>
      <c r="F2" s="24"/>
      <c r="G2" s="24"/>
      <c r="H2" s="25"/>
      <c r="I2" s="25"/>
      <c r="J2" s="25"/>
    </row>
    <row r="3" spans="2:10" x14ac:dyDescent="0.3">
      <c r="B3" s="26" t="s">
        <v>48</v>
      </c>
      <c r="C3" s="26"/>
      <c r="D3" s="26"/>
      <c r="E3" s="26"/>
      <c r="F3" s="26"/>
      <c r="G3" s="26"/>
      <c r="H3" s="25"/>
      <c r="I3" s="25"/>
      <c r="J3" s="25"/>
    </row>
    <row r="4" spans="2:10" x14ac:dyDescent="0.3">
      <c r="B4" s="26" t="s">
        <v>49</v>
      </c>
      <c r="C4" s="26"/>
      <c r="D4" s="26"/>
      <c r="E4" s="26"/>
      <c r="F4" s="26"/>
      <c r="G4" s="26"/>
      <c r="H4" s="25"/>
      <c r="I4" s="25"/>
      <c r="J4" s="25"/>
    </row>
    <row r="5" spans="2:10" x14ac:dyDescent="0.3">
      <c r="B5" s="26" t="s">
        <v>50</v>
      </c>
      <c r="C5" s="26"/>
      <c r="D5" s="26"/>
      <c r="E5" s="26"/>
      <c r="F5" s="26"/>
      <c r="G5" s="26"/>
      <c r="H5" s="25"/>
      <c r="I5" s="25"/>
      <c r="J5" s="25"/>
    </row>
    <row r="6" spans="2:10" x14ac:dyDescent="0.3">
      <c r="B6" s="26">
        <v>56968208696</v>
      </c>
      <c r="C6" s="26"/>
      <c r="D6" s="26"/>
      <c r="E6" s="26"/>
      <c r="F6" s="26"/>
      <c r="G6" s="26"/>
      <c r="H6" s="25"/>
      <c r="I6" s="25"/>
      <c r="J6" s="25"/>
    </row>
    <row r="7" spans="2:10" x14ac:dyDescent="0.3">
      <c r="B7" s="27" t="s">
        <v>51</v>
      </c>
      <c r="C7" s="26"/>
      <c r="D7" s="26"/>
      <c r="E7" s="26"/>
      <c r="F7" s="26"/>
      <c r="G7" s="26"/>
      <c r="H7" s="25"/>
      <c r="I7" s="25"/>
      <c r="J7" s="25"/>
    </row>
    <row r="8" spans="2:10" x14ac:dyDescent="0.3">
      <c r="B8" s="28"/>
      <c r="C8" s="28"/>
      <c r="D8" s="28"/>
      <c r="E8" s="28"/>
      <c r="F8" s="28"/>
      <c r="G8" s="28"/>
      <c r="H8" s="29"/>
      <c r="I8" s="29"/>
      <c r="J8" s="29"/>
    </row>
    <row r="10" spans="2:10" ht="23.4" x14ac:dyDescent="0.3">
      <c r="B10" s="30" t="s">
        <v>52</v>
      </c>
      <c r="C10" s="30"/>
      <c r="D10" s="30"/>
      <c r="E10" s="30"/>
      <c r="F10" s="30"/>
      <c r="G10" s="30"/>
      <c r="H10" s="30"/>
      <c r="I10" s="30"/>
      <c r="J10" s="30"/>
    </row>
    <row r="11" spans="2:10" ht="23.4" x14ac:dyDescent="0.3">
      <c r="B11" s="31"/>
      <c r="C11" s="31"/>
      <c r="D11" s="31"/>
      <c r="E11" s="31"/>
      <c r="F11" s="31"/>
      <c r="G11" s="31"/>
      <c r="H11" s="31"/>
      <c r="I11" s="31"/>
      <c r="J11" s="31"/>
    </row>
    <row r="12" spans="2:10" x14ac:dyDescent="0.3">
      <c r="B12" s="32" t="s">
        <v>53</v>
      </c>
      <c r="C12" s="33"/>
      <c r="D12" s="34" t="s">
        <v>54</v>
      </c>
      <c r="E12" s="32" t="s">
        <v>55</v>
      </c>
      <c r="F12" s="33"/>
      <c r="G12" s="35">
        <f ca="1">TODAY()</f>
        <v>45978</v>
      </c>
      <c r="H12" s="32" t="s">
        <v>56</v>
      </c>
      <c r="I12" s="33"/>
      <c r="J12" s="36">
        <f ca="1">TODAY()+15</f>
        <v>45993</v>
      </c>
    </row>
    <row r="14" spans="2:10" x14ac:dyDescent="0.3">
      <c r="B14" s="37" t="s">
        <v>57</v>
      </c>
      <c r="C14" s="38"/>
      <c r="D14" s="38"/>
      <c r="E14" s="38"/>
      <c r="F14" s="38"/>
      <c r="G14" s="38"/>
      <c r="H14" s="38"/>
      <c r="I14" s="38"/>
      <c r="J14" s="39"/>
    </row>
    <row r="16" spans="2:10" x14ac:dyDescent="0.3">
      <c r="B16" s="40" t="s">
        <v>58</v>
      </c>
      <c r="C16" s="40"/>
      <c r="D16" s="40"/>
      <c r="E16" s="41" t="s">
        <v>59</v>
      </c>
      <c r="F16" s="41"/>
      <c r="G16" s="41"/>
      <c r="H16" s="41"/>
      <c r="I16" s="41"/>
      <c r="J16" s="41"/>
    </row>
    <row r="17" spans="2:10" x14ac:dyDescent="0.3">
      <c r="B17" s="40" t="s">
        <v>60</v>
      </c>
      <c r="C17" s="40"/>
      <c r="D17" s="40"/>
      <c r="E17" s="41" t="s">
        <v>61</v>
      </c>
      <c r="F17" s="41"/>
      <c r="G17" s="41"/>
      <c r="H17" s="41"/>
      <c r="I17" s="41"/>
      <c r="J17" s="41"/>
    </row>
    <row r="18" spans="2:10" x14ac:dyDescent="0.3">
      <c r="B18" s="40" t="s">
        <v>62</v>
      </c>
      <c r="C18" s="40"/>
      <c r="D18" s="40"/>
      <c r="E18" s="42" t="s">
        <v>63</v>
      </c>
      <c r="F18" s="42"/>
      <c r="G18" s="43" t="s">
        <v>64</v>
      </c>
      <c r="H18" s="44" t="s">
        <v>65</v>
      </c>
      <c r="I18" s="45"/>
      <c r="J18" s="46"/>
    </row>
    <row r="19" spans="2:10" x14ac:dyDescent="0.3">
      <c r="B19" s="40" t="s">
        <v>66</v>
      </c>
      <c r="C19" s="40"/>
      <c r="D19" s="40"/>
      <c r="E19" s="42" t="s">
        <v>67</v>
      </c>
      <c r="F19" s="42"/>
      <c r="G19" s="43" t="s">
        <v>68</v>
      </c>
      <c r="H19" s="44" t="s">
        <v>69</v>
      </c>
      <c r="I19" s="45">
        <f>[1]Presupuesto!I19</f>
        <v>0</v>
      </c>
      <c r="J19" s="46">
        <f>[1]Presupuesto!J19</f>
        <v>0</v>
      </c>
    </row>
    <row r="20" spans="2:10" x14ac:dyDescent="0.3">
      <c r="B20" s="47" t="s">
        <v>70</v>
      </c>
      <c r="C20" s="47"/>
      <c r="D20" s="47"/>
      <c r="E20" s="48" t="s">
        <v>71</v>
      </c>
      <c r="F20" s="49"/>
      <c r="G20" s="49"/>
      <c r="H20" s="49"/>
      <c r="I20" s="49"/>
      <c r="J20" s="50"/>
    </row>
    <row r="22" spans="2:10" x14ac:dyDescent="0.3">
      <c r="B22" s="51" t="s">
        <v>72</v>
      </c>
      <c r="C22" s="52" t="s">
        <v>73</v>
      </c>
      <c r="D22" s="53"/>
      <c r="E22" s="53"/>
      <c r="F22" s="54"/>
      <c r="G22" s="51" t="s">
        <v>74</v>
      </c>
      <c r="H22" s="51" t="s">
        <v>75</v>
      </c>
      <c r="I22" s="51" t="s">
        <v>76</v>
      </c>
      <c r="J22" s="51" t="s">
        <v>77</v>
      </c>
    </row>
    <row r="23" spans="2:10" x14ac:dyDescent="0.3">
      <c r="B23" s="55">
        <f>[1]Presupuesto!B23</f>
        <v>0</v>
      </c>
      <c r="C23" s="56" t="s">
        <v>78</v>
      </c>
      <c r="D23" s="57"/>
      <c r="E23" s="57"/>
      <c r="F23" s="58"/>
      <c r="G23" s="59" t="s">
        <v>79</v>
      </c>
      <c r="H23" s="60">
        <v>1</v>
      </c>
      <c r="I23" s="61">
        <v>3982611</v>
      </c>
      <c r="J23" s="61">
        <f>H23*I23</f>
        <v>3982611</v>
      </c>
    </row>
    <row r="24" spans="2:10" x14ac:dyDescent="0.3">
      <c r="B24" s="55"/>
      <c r="C24" s="62"/>
      <c r="D24" s="63"/>
      <c r="E24" s="63"/>
      <c r="F24" s="64"/>
      <c r="G24" s="59"/>
      <c r="H24" s="60"/>
      <c r="I24" s="61"/>
      <c r="J24" s="61"/>
    </row>
    <row r="25" spans="2:10" x14ac:dyDescent="0.3">
      <c r="B25" s="55">
        <f>[1]Presupuesto!B24</f>
        <v>0</v>
      </c>
      <c r="C25" s="65" t="s">
        <v>80</v>
      </c>
      <c r="D25" s="66"/>
      <c r="E25" s="66"/>
      <c r="F25" s="67"/>
      <c r="G25" s="59" t="str">
        <f>IF([1]Presupuesto!G24="","",[1]Presupuesto!G24)</f>
        <v>Santiago</v>
      </c>
      <c r="H25" s="60" t="str">
        <f>IF([1]Presupuesto!H24="","",[1]Presupuesto!H24)</f>
        <v/>
      </c>
      <c r="I25" s="61" t="str">
        <f>IF([1]Presupuesto!I24="","",[1]Presupuesto!I24)</f>
        <v/>
      </c>
      <c r="J25" s="61" t="str">
        <f>IF([1]Presupuesto!J24="","",[1]Presupuesto!J24)</f>
        <v/>
      </c>
    </row>
    <row r="26" spans="2:10" x14ac:dyDescent="0.3">
      <c r="B26" s="55">
        <f>[1]Presupuesto!B25</f>
        <v>0</v>
      </c>
      <c r="C26" s="68"/>
      <c r="D26" s="69"/>
      <c r="E26" s="69"/>
      <c r="F26" s="70"/>
      <c r="G26" s="59" t="str">
        <f>IF([1]Presupuesto!G25="","",[1]Presupuesto!G25)</f>
        <v>Los Coigues #7209 /Macul</v>
      </c>
      <c r="H26" s="60" t="str">
        <f>IF([1]Presupuesto!H25="","",[1]Presupuesto!H25)</f>
        <v/>
      </c>
      <c r="I26" s="61" t="str">
        <f>IF([1]Presupuesto!I25="","",[1]Presupuesto!I25)</f>
        <v/>
      </c>
      <c r="J26" s="61" t="str">
        <f>IF([1]Presupuesto!J25="","",[1]Presupuesto!J25)</f>
        <v/>
      </c>
    </row>
    <row r="27" spans="2:10" x14ac:dyDescent="0.3">
      <c r="B27" s="55">
        <f>[1]Presupuesto!B26</f>
        <v>0</v>
      </c>
      <c r="C27" s="68"/>
      <c r="D27" s="69"/>
      <c r="E27" s="69"/>
      <c r="F27" s="70"/>
      <c r="G27" s="59" t="str">
        <f>IF([1]Presupuesto!G26="","",[1]Presupuesto!G26)</f>
        <v/>
      </c>
      <c r="H27" s="60" t="str">
        <f>IF([1]Presupuesto!H26="","",[1]Presupuesto!H26)</f>
        <v/>
      </c>
      <c r="I27" s="61" t="str">
        <f>IF([1]Presupuesto!I26="","",[1]Presupuesto!I26)</f>
        <v/>
      </c>
      <c r="J27" s="61" t="str">
        <f>IF([1]Presupuesto!J26="","",[1]Presupuesto!J26)</f>
        <v/>
      </c>
    </row>
    <row r="28" spans="2:10" x14ac:dyDescent="0.3">
      <c r="B28" s="55">
        <f>[1]Presupuesto!B27</f>
        <v>1</v>
      </c>
      <c r="C28" s="68"/>
      <c r="D28" s="69"/>
      <c r="E28" s="69"/>
      <c r="F28" s="70"/>
      <c r="G28" s="59">
        <f>IF([1]Presupuesto!G27="","",[1]Presupuesto!G27)</f>
        <v>1</v>
      </c>
      <c r="H28" s="60" t="str">
        <f>IF([1]Presupuesto!H27="","",[1]Presupuesto!H27)</f>
        <v/>
      </c>
      <c r="I28" s="61" t="str">
        <f>IF([1]Presupuesto!I27="","",[1]Presupuesto!I27)</f>
        <v/>
      </c>
      <c r="J28" s="61" t="str">
        <f>IF([1]Presupuesto!J27="","",[1]Presupuesto!J27)</f>
        <v/>
      </c>
    </row>
    <row r="29" spans="2:10" x14ac:dyDescent="0.3">
      <c r="B29" s="55" t="str">
        <f>[1]Presupuesto!B28</f>
        <v>DESCRIPCIÓN DE LA PARTIDA</v>
      </c>
      <c r="C29" s="68"/>
      <c r="D29" s="69"/>
      <c r="E29" s="69"/>
      <c r="F29" s="70"/>
      <c r="G29" s="59" t="str">
        <f>IF([1]Presupuesto!G28="","",[1]Presupuesto!G28)</f>
        <v>CANTIDAD</v>
      </c>
      <c r="H29" s="60" t="str">
        <f>IF([1]Presupuesto!H28="","",[1]Presupuesto!H28)</f>
        <v>VALOR UNIT</v>
      </c>
      <c r="I29" s="61" t="str">
        <f>IF([1]Presupuesto!I28="","",[1]Presupuesto!I28)</f>
        <v xml:space="preserve"> TOTAL NETO</v>
      </c>
      <c r="J29" s="61" t="str">
        <f>IF([1]Presupuesto!J28="","",[1]Presupuesto!J28)</f>
        <v/>
      </c>
    </row>
    <row r="30" spans="2:10" x14ac:dyDescent="0.3">
      <c r="B30" s="55" t="str">
        <f>[1]Presupuesto!B29</f>
        <v>REPARACIONES INTERIORES DE MURALLAS</v>
      </c>
      <c r="C30" s="68"/>
      <c r="D30" s="69"/>
      <c r="E30" s="69"/>
      <c r="F30" s="70"/>
      <c r="G30" s="59">
        <f>IF([1]Presupuesto!G29="","",[1]Presupuesto!G29)</f>
        <v>16.8</v>
      </c>
      <c r="H30" s="60">
        <f>IF([1]Presupuesto!H29="","",[1]Presupuesto!H29)</f>
        <v>23037.103095238093</v>
      </c>
      <c r="I30" s="61">
        <f>IF([1]Presupuesto!I29="","",[1]Presupuesto!I29)</f>
        <v>387023.33199999999</v>
      </c>
      <c r="J30" s="61" t="str">
        <f>IF([1]Presupuesto!J29="","",[1]Presupuesto!J29)</f>
        <v/>
      </c>
    </row>
    <row r="31" spans="2:10" x14ac:dyDescent="0.3">
      <c r="B31" s="55">
        <f>[1]Presupuesto!B30</f>
        <v>0</v>
      </c>
      <c r="C31" s="68"/>
      <c r="D31" s="69"/>
      <c r="E31" s="69"/>
      <c r="F31" s="70"/>
      <c r="G31" s="59" t="str">
        <f>IF([1]Presupuesto!G30="","",[1]Presupuesto!G30)</f>
        <v/>
      </c>
      <c r="H31" s="60" t="str">
        <f>IF([1]Presupuesto!H30="","",[1]Presupuesto!H30)</f>
        <v/>
      </c>
      <c r="I31" s="61" t="str">
        <f>IF([1]Presupuesto!I30="","",[1]Presupuesto!I30)</f>
        <v/>
      </c>
      <c r="J31" s="61" t="str">
        <f>IF([1]Presupuesto!J30="","",[1]Presupuesto!J30)</f>
        <v/>
      </c>
    </row>
    <row r="32" spans="2:10" x14ac:dyDescent="0.3">
      <c r="B32" s="55">
        <f>[1]Presupuesto!B41</f>
        <v>0</v>
      </c>
      <c r="C32" s="71"/>
      <c r="D32" s="72"/>
      <c r="E32" s="72"/>
      <c r="F32" s="73"/>
      <c r="G32" s="59" t="str">
        <f>IF([1]Presupuesto!G41="","",[1]Presupuesto!G41)</f>
        <v/>
      </c>
      <c r="H32" s="60" t="str">
        <f>IF([1]Presupuesto!H41="","",[1]Presupuesto!H41)</f>
        <v/>
      </c>
      <c r="I32" s="61" t="str">
        <f>IF([1]Presupuesto!I41="","",[1]Presupuesto!I41)</f>
        <v/>
      </c>
      <c r="J32" s="61" t="str">
        <f>IF([1]Presupuesto!J41="","",[1]Presupuesto!J41)</f>
        <v/>
      </c>
    </row>
    <row r="33" spans="2:10" x14ac:dyDescent="0.3">
      <c r="B33" s="55">
        <f>[1]Presupuesto!B42</f>
        <v>0</v>
      </c>
      <c r="C33" s="71" t="str">
        <f>IF([1]Presupuesto!C42="","",[1]Presupuesto!C42)</f>
        <v/>
      </c>
      <c r="D33" s="72"/>
      <c r="E33" s="72"/>
      <c r="F33" s="73"/>
      <c r="G33" s="59" t="str">
        <f>IF([1]Presupuesto!G42="","",[1]Presupuesto!G42)</f>
        <v/>
      </c>
      <c r="H33" s="60" t="str">
        <f>IF([1]Presupuesto!H42="","",[1]Presupuesto!H42)</f>
        <v/>
      </c>
      <c r="I33" s="61" t="str">
        <f>IF([1]Presupuesto!I42="","",[1]Presupuesto!I42)</f>
        <v/>
      </c>
      <c r="J33" s="61" t="str">
        <f>IF([1]Presupuesto!J42="","",[1]Presupuesto!J42)</f>
        <v/>
      </c>
    </row>
    <row r="34" spans="2:10" x14ac:dyDescent="0.3">
      <c r="B34" s="55">
        <f>[1]Presupuesto!B43</f>
        <v>0</v>
      </c>
      <c r="C34" s="71" t="str">
        <f>IF([1]Presupuesto!C43="","",[1]Presupuesto!C43)</f>
        <v/>
      </c>
      <c r="D34" s="72"/>
      <c r="E34" s="72"/>
      <c r="F34" s="73"/>
      <c r="G34" s="59" t="str">
        <f>IF([1]Presupuesto!G43="","",[1]Presupuesto!G43)</f>
        <v/>
      </c>
      <c r="H34" s="60" t="str">
        <f>IF([1]Presupuesto!H43="","",[1]Presupuesto!H43)</f>
        <v/>
      </c>
      <c r="I34" s="61" t="str">
        <f>IF([1]Presupuesto!I43="","",[1]Presupuesto!I43)</f>
        <v/>
      </c>
      <c r="J34" s="61" t="str">
        <f>IF([1]Presupuesto!J43="","",[1]Presupuesto!J43)</f>
        <v/>
      </c>
    </row>
    <row r="35" spans="2:10" x14ac:dyDescent="0.3">
      <c r="B35" s="74" t="s">
        <v>81</v>
      </c>
      <c r="C35" s="75"/>
      <c r="D35" s="75"/>
      <c r="E35" s="75"/>
      <c r="F35" s="75"/>
      <c r="G35" s="75"/>
      <c r="H35" s="76"/>
      <c r="I35" s="77" t="s">
        <v>82</v>
      </c>
      <c r="J35" s="78">
        <f>SUM(J23:J34)</f>
        <v>3982611</v>
      </c>
    </row>
    <row r="36" spans="2:10" x14ac:dyDescent="0.3">
      <c r="B36" s="74" t="s">
        <v>83</v>
      </c>
      <c r="C36" s="75"/>
      <c r="D36" s="75"/>
      <c r="E36" s="75"/>
      <c r="F36" s="75"/>
      <c r="G36" s="75"/>
      <c r="H36" s="76"/>
      <c r="I36" s="77" t="s">
        <v>84</v>
      </c>
      <c r="J36" s="78">
        <f>J35*19%</f>
        <v>756696.09</v>
      </c>
    </row>
    <row r="37" spans="2:10" x14ac:dyDescent="0.3">
      <c r="B37" s="79"/>
      <c r="C37" s="80"/>
      <c r="D37" s="80"/>
      <c r="E37" s="80"/>
      <c r="F37" s="80"/>
      <c r="G37" s="80"/>
      <c r="H37" s="81"/>
      <c r="I37" s="82" t="s">
        <v>85</v>
      </c>
      <c r="J37" s="83">
        <f>SUM(J35:J36)</f>
        <v>4739307.09</v>
      </c>
    </row>
  </sheetData>
  <mergeCells count="30">
    <mergeCell ref="B36:H36"/>
    <mergeCell ref="B37:H37"/>
    <mergeCell ref="B20:D20"/>
    <mergeCell ref="E20:J20"/>
    <mergeCell ref="C22:F22"/>
    <mergeCell ref="C23:F24"/>
    <mergeCell ref="C25:F31"/>
    <mergeCell ref="B35:H35"/>
    <mergeCell ref="B17:D17"/>
    <mergeCell ref="E17:J17"/>
    <mergeCell ref="B18:D18"/>
    <mergeCell ref="E18:F18"/>
    <mergeCell ref="H18:J18"/>
    <mergeCell ref="B19:D19"/>
    <mergeCell ref="E19:F19"/>
    <mergeCell ref="H19:J19"/>
    <mergeCell ref="B10:J10"/>
    <mergeCell ref="B12:C12"/>
    <mergeCell ref="E12:F12"/>
    <mergeCell ref="H12:I12"/>
    <mergeCell ref="B14:J14"/>
    <mergeCell ref="B16:D16"/>
    <mergeCell ref="E16:J16"/>
    <mergeCell ref="B2:G2"/>
    <mergeCell ref="H2:J7"/>
    <mergeCell ref="B3:G3"/>
    <mergeCell ref="B4:G4"/>
    <mergeCell ref="B5:G5"/>
    <mergeCell ref="B6:G6"/>
    <mergeCell ref="B7:G7"/>
  </mergeCells>
  <hyperlinks>
    <hyperlink ref="B7" r:id="rId1" xr:uid="{2A54F8E3-7E11-4BFE-B284-57A162EBE627}"/>
    <hyperlink ref="E20" r:id="rId2" xr:uid="{D4A9D70E-45EE-43F8-8461-720C338E1FF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Detalle 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PATRICIO AGUILAR MUÑOZ</dc:creator>
  <cp:lastModifiedBy>HÉCTOR PATRICIO AGUILAR MUÑOZ</cp:lastModifiedBy>
  <dcterms:created xsi:type="dcterms:W3CDTF">2025-11-17T16:23:08Z</dcterms:created>
  <dcterms:modified xsi:type="dcterms:W3CDTF">2025-11-17T16:26:29Z</dcterms:modified>
</cp:coreProperties>
</file>